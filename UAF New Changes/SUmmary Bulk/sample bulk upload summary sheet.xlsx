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<sst xmlns="http://schemas.openxmlformats.org/spreadsheetml/2006/main" count="55" uniqueCount="53">
  <si>
    <t>COMPANY NAME</t>
  </si>
  <si>
    <t>Standard</t>
  </si>
  <si>
    <t>Certificate no</t>
  </si>
  <si>
    <t>Country</t>
  </si>
  <si>
    <t>Reg date</t>
  </si>
  <si>
    <t xml:space="preserve">type </t>
  </si>
  <si>
    <t>ADDRESS</t>
  </si>
  <si>
    <t>SCOPE</t>
  </si>
  <si>
    <t>IAF Code</t>
  </si>
  <si>
    <t>No of empl</t>
  </si>
  <si>
    <t>total mandays</t>
  </si>
  <si>
    <t>Stg 1 manday</t>
  </si>
  <si>
    <t>stg 2 manday</t>
  </si>
  <si>
    <t>Auditor Stg 1</t>
  </si>
  <si>
    <t>Auditor Stg 2</t>
  </si>
  <si>
    <t>Tech Reviewer</t>
  </si>
  <si>
    <t>Director name</t>
  </si>
  <si>
    <t>Surveillance 1 mandays</t>
  </si>
  <si>
    <t>Recert mandays</t>
  </si>
  <si>
    <t>auditor team</t>
  </si>
  <si>
    <t>application reviewer name</t>
  </si>
  <si>
    <t>lead auditor</t>
  </si>
  <si>
    <t>Food category</t>
  </si>
  <si>
    <t xml:space="preserve">SOA Date </t>
  </si>
  <si>
    <t>registration date</t>
  </si>
  <si>
    <t>cdc date</t>
  </si>
  <si>
    <t>tech review 2 date</t>
  </si>
  <si>
    <t>Recert NCR closure date</t>
  </si>
  <si>
    <t>Recert audit RCA accept date</t>
  </si>
  <si>
    <t>Recert audit date</t>
  </si>
  <si>
    <t>Recert plan accept date</t>
  </si>
  <si>
    <t>Recert plan sent date</t>
  </si>
  <si>
    <t>tech review 1 date</t>
  </si>
  <si>
    <t>Stage 1 NCR RCA acceptance date</t>
  </si>
  <si>
    <t>stage 1 audit date</t>
  </si>
  <si>
    <t>stage 1 plan accept date</t>
  </si>
  <si>
    <t>stage 1 plan sent date</t>
  </si>
  <si>
    <t>client agreement</t>
  </si>
  <si>
    <t xml:space="preserve">quotation </t>
  </si>
  <si>
    <t>application review</t>
  </si>
  <si>
    <t xml:space="preserve">application </t>
  </si>
  <si>
    <t>ALIEDAD GENERAL CONSTRUCTION  IMPORT &amp; EXPORT</t>
  </si>
  <si>
    <t>ISO 9001:2015
ISO 14001:2015
ISO 45001:2018</t>
  </si>
  <si>
    <t>AMER30929
AMER30930
AMER30931</t>
  </si>
  <si>
    <t>Iraq</t>
  </si>
  <si>
    <t>Initial</t>
  </si>
  <si>
    <t>D 31, Z 4, M 609 Hunting Club St. Al-Mansuor Area, Baghdad / Iraq</t>
  </si>
  <si>
    <t>Design and manufacturing of precast concrete products</t>
  </si>
  <si>
    <t>Ahmed Matashar Al-Azzun
ZAINAB ARKAN M. SAEED AL-SUMAIDAEE</t>
  </si>
  <si>
    <t>aniket kalaskar</t>
  </si>
  <si>
    <t>Mr. Sabah Hussein Al-Mousawi</t>
  </si>
  <si>
    <t>girija itkar</t>
  </si>
  <si>
    <t xml:space="preserve">
ZAINAB ARKAN M. SAEED AL-SUMAIDAEE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</si>
</sst>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£-809]#,##0.00"/>
    <numFmt numFmtId="165" formatCode="d mmmm yyyy"/>
  </numFmts>
  <fonts count="3">
    <font>
      <sz val="10.0"/>
      <color rgb="FF000000"/>
      <name val="Arial"/>
      <scheme val="minor"/>
    </font>
    <font>
      <sz val="12.0"/>
      <color theme="1"/>
      <name val="Times New Roman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ill="1" applyFont="1">
      <alignment horizontal="center" shrinkToFit="0" wrapText="1"/>
    </xf>
    <xf borderId="3" fillId="2" fontId="1" numFmtId="0" xfId="0" applyAlignment="1" applyBorder="1" applyFill="1" applyFont="1">
      <alignment horizontal="center" shrinkToFit="0" vertical="bottom" wrapText="1"/>
    </xf>
    <xf borderId="3" fillId="0" fontId="2" numFmtId="0" xfId="0" applyAlignment="1" applyBorder="1" applyFont="1">
      <alignment vertical="bottom"/>
    </xf>
    <xf borderId="3" fillId="3" fontId="2" numFmtId="0" xfId="0" applyAlignment="1" applyBorder="1" applyFill="1" applyFont="1">
      <alignment vertical="bottom"/>
    </xf>
    <xf borderId="3" fillId="3" fontId="1" numFmtId="0" xfId="0" applyAlignment="1" applyBorder="1" applyFill="1" applyFont="1">
      <alignment horizontal="center" shrinkToFit="0" vertical="bottom" wrapText="1"/>
    </xf>
    <xf borderId="3" fillId="0" fontId="1" numFmtId="164" xfId="0" applyAlignment="1" applyBorder="1" applyFont="1" applyNumberFormat="1">
      <alignment horizontal="center" vertical="bottom"/>
    </xf>
    <xf borderId="3" fillId="0" fontId="1" numFmtId="165" xfId="0" applyAlignment="1" applyBorder="1" applyFont="1" applyNumberFormat="1">
      <alignment horizontal="center" vertical="bottom"/>
    </xf>
    <xf borderId="3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shrinkToFit="0" vertical="bottom" wrapText="1"/>
    </xf>
    <xf borderId="3" fillId="3" fontId="1" numFmtId="0" xfId="0" applyAlignment="1" applyBorder="1" applyFill="1" applyFont="1">
      <alignment horizontal="center" shrinkToFit="0" wrapText="1"/>
    </xf>
    <xf borderId="3" fillId="4" fontId="1" numFmtId="0" xfId="0" applyAlignment="1" applyBorder="1" applyFill="1" applyFont="1">
      <alignment horizontal="center" shrinkToFit="0" vertical="bottom" wrapText="1"/>
    </xf>
    <xf borderId="3" fillId="2" fontId="2" numFmtId="165" xfId="0" applyAlignment="1" applyBorder="1" applyFill="1" applyFont="1" applyNumberFormat="1">
      <alignment vertical="bottom"/>
    </xf>
    <xf borderId="3" fillId="2" fontId="1" numFmtId="165" xfId="0" applyAlignment="1" applyBorder="1" applyFill="1" applyFont="1" applyNumberFormat="1">
      <alignment horizontal="center" vertical="bottom"/>
    </xf>
    <xf borderId="3" fillId="0" fontId="2" numFmtId="165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3" t="s">
        <v>19</v>
      </c>
      <c r="U1" s="3" t="s">
        <v>20</v>
      </c>
      <c r="V1" s="1" t="s">
        <v>21</v>
      </c>
      <c r="W1" s="3" t="s">
        <v>22</v>
      </c>
      <c r="X1" s="3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</row>
    <row r="2">
      <c r="A2" s="6" t="s">
        <v>41</v>
      </c>
      <c r="B2" s="7" t="s">
        <v>42</v>
      </c>
      <c r="C2" s="7" t="s">
        <v>43</v>
      </c>
      <c r="D2" s="7" t="s">
        <v>44</v>
      </c>
      <c r="E2" s="8">
        <v>45882.0</v>
      </c>
      <c r="F2" s="9" t="s">
        <v>45</v>
      </c>
      <c r="G2" s="10" t="s">
        <v>46</v>
      </c>
      <c r="H2" s="11" t="s">
        <v>47</v>
      </c>
      <c r="I2" s="9">
        <v>16.0</v>
      </c>
      <c r="J2" s="9">
        <v>15.0</v>
      </c>
      <c r="K2" s="9">
        <v>8.0</v>
      </c>
      <c r="L2" s="9">
        <v>2.0</v>
      </c>
      <c r="M2" s="9">
        <v>6.0</v>
      </c>
      <c r="N2" s="12" t="s">
        <v>48</v>
      </c>
      <c r="O2" s="12" t="s">
        <v>48</v>
      </c>
      <c r="P2" s="9" t="s">
        <v>49</v>
      </c>
      <c r="Q2" s="10" t="s">
        <v>50</v>
      </c>
      <c r="R2" s="9">
        <v>3.0</v>
      </c>
      <c r="S2" s="9">
        <v>6.0</v>
      </c>
      <c r="T2" s="12" t="s">
        <v>48</v>
      </c>
      <c r="U2" s="8" t="s">
        <v>51</v>
      </c>
      <c r="V2" s="10" t="s">
        <v>52</v>
      </c>
      <c r="W2" s="13"/>
      <c r="X2" s="13"/>
      <c r="Y2" s="14">
        <v>46168.0</v>
      </c>
      <c r="Z2" s="15">
        <f>Y2-RANDBETWEEN(1,5)</f>
        <v>46165</v>
      </c>
      <c r="AA2" s="15">
        <f>Z2</f>
        <v>46165</v>
      </c>
      <c r="AB2" s="15">
        <f>AA2-RANDBETWEEN(2,5)</f>
        <v>46163</v>
      </c>
      <c r="AC2" s="15">
        <f>AD2</f>
        <v>46145</v>
      </c>
      <c r="AD2" s="15">
        <f>AA2-RANDBETWEEN(15,22)</f>
        <v>46145</v>
      </c>
      <c r="AE2" s="15">
        <f>AF2+RANDBETWEEN(1,2)</f>
        <v>46141</v>
      </c>
      <c r="AF2" s="15">
        <f>AC2-RANDBETWEEN(4,8)</f>
        <v>46139</v>
      </c>
      <c r="AG2" s="15">
        <f>AD2-RANDBETWEEN(10,14)</f>
        <v>46131</v>
      </c>
      <c r="AH2" s="15">
        <f>AI2+RANDBETWEEN(2,4)</f>
        <v>46126</v>
      </c>
      <c r="AI2" s="15">
        <f>AG2-RANDBETWEEN(7,10)</f>
        <v>46122</v>
      </c>
      <c r="AJ2" s="15">
        <f>AI2-RANDBETWEEN(4,5)</f>
        <v>46118</v>
      </c>
      <c r="AK2" s="15">
        <f>AJ2-RANDBETWEEN(1,2)</f>
        <v>46116</v>
      </c>
      <c r="AL2" s="15">
        <f>AI2-RANDBETWEEN(14,21)</f>
        <v>46107</v>
      </c>
      <c r="AM2" s="15">
        <f>AL2-RANDBETWEEN(1,5)</f>
        <v>46102</v>
      </c>
      <c r="AN2" s="15">
        <f>AM2-RANDBETWEEN(1,3)</f>
        <v>46099</v>
      </c>
      <c r="AO2" s="15">
        <f>AN2-RANDBETWEEN(2,4)</f>
        <v>46096</v>
      </c>
    </row>
  </sheetData>
  <drawing r:id="rId1"/>
</worksheet>
</file>